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bar\OneDrive\Desktop\LinkedIn\"/>
    </mc:Choice>
  </mc:AlternateContent>
  <xr:revisionPtr revIDLastSave="0" documentId="8_{B37FA3D8-2D51-4E9A-AEC4-24526EA2A53C}" xr6:coauthVersionLast="47" xr6:coauthVersionMax="47" xr10:uidLastSave="{00000000-0000-0000-0000-000000000000}"/>
  <bookViews>
    <workbookView xWindow="-108" yWindow="-108" windowWidth="23256" windowHeight="12456" xr2:uid="{DD514576-AFBB-4A01-AE14-C9E7D3720256}"/>
  </bookViews>
  <sheets>
    <sheet name="QUIZ" sheetId="2" r:id="rId1"/>
    <sheet name="DATA" sheetId="1" r:id="rId2"/>
    <sheet name="SC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3" l="1" a="1"/>
  <c r="A9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<sst xmlns="http://schemas.openxmlformats.org/spreadsheetml/2006/main" count="420" uniqueCount="370">
  <si>
    <t>Question</t>
  </si>
  <si>
    <t>OPTION-1</t>
  </si>
  <si>
    <t>OPTION-2</t>
  </si>
  <si>
    <t>OPTION-3</t>
  </si>
  <si>
    <t>OPTION-4</t>
  </si>
  <si>
    <t>OPTION-5</t>
  </si>
  <si>
    <t>OPTION-6</t>
  </si>
  <si>
    <t>When given a new task, what part of it excites you the most?</t>
  </si>
  <si>
    <t>Figuring out the tools and materials needed to complete it</t>
  </si>
  <si>
    <t>Analyzing the process behind the task and optimizing it</t>
  </si>
  <si>
    <t>Expressing the task creatively or visually</t>
  </si>
  <si>
    <t>Collaborating with others or helping someone while doing it</t>
  </si>
  <si>
    <t>Taking the lead and making decisions to get it done quickly</t>
  </si>
  <si>
    <t>Organizing the steps in a structured checklist to ensure nothing goes wrong</t>
  </si>
  <si>
    <t>What kind of work environment would energize you the most?</t>
  </si>
  <si>
    <t>Outdoor or hands-on settings with tools, machines, or equipment</t>
  </si>
  <si>
    <t>Research labs, problem-solving spaces, or academic settings</t>
  </si>
  <si>
    <t>Free, expressive spaces like studios, content rooms, or writing zones</t>
  </si>
  <si>
    <t>Team-based, interactive spaces like clinics or classrooms</t>
  </si>
  <si>
    <t>Fast-paced offices, boardrooms, or startup environments</t>
  </si>
  <si>
    <t>Quiet, organized spaces like libraries, finance or recordkeeping offices</t>
  </si>
  <si>
    <t>What do you value most when working on a group project?</t>
  </si>
  <si>
    <t>Practical execution – building, fixing, or setting up things</t>
  </si>
  <si>
    <t>Logical accuracy and depth of research</t>
  </si>
  <si>
    <t>Making the presentation look unique or interesting</t>
  </si>
  <si>
    <t>Keeping the group connected and resolving conflicts</t>
  </si>
  <si>
    <t>Taking initiative and influencing the group’s direction</t>
  </si>
  <si>
    <t>Creating clear documentation and timelines</t>
  </si>
  <si>
    <t>What best describes how you usually solve a problem?</t>
  </si>
  <si>
    <t>Use physical tools or trial-and-error methods</t>
  </si>
  <si>
    <t>Break it down into logical steps and research the root cause</t>
  </si>
  <si>
    <t>Think creatively or try unique solutions not tried before</t>
  </si>
  <si>
    <t>Ask others or talk through it to get insights</t>
  </si>
  <si>
    <t>Make fast decisions and take charge to resolve it</t>
  </si>
  <si>
    <t>Follow existing procedures or instructions that worked earlier</t>
  </si>
  <si>
    <t>How do you prefer to spend your time in a typical day?</t>
  </si>
  <si>
    <t>Doing something physical or mechanical like DIY, repairs, tools</t>
  </si>
  <si>
    <t>Solving puzzles, researching, or reading analytical material</t>
  </si>
  <si>
    <t>Creating — writing, drawing, designing, or composing</t>
  </si>
  <si>
    <t>Talking to people, giving advice, mentoring, or listening</t>
  </si>
  <si>
    <t>Planning projects, leading a team, or networking</t>
  </si>
  <si>
    <t>Organizing tasks, making checklists, tracking progress</t>
  </si>
  <si>
    <t>When you're stuck on a task, what’s your first instinct?</t>
  </si>
  <si>
    <t>Use your hands to try and fix it practically</t>
  </si>
  <si>
    <t>Analyze the issue deeply and run through logical scenarios</t>
  </si>
  <si>
    <t>Step back and reimagine the situation from a new angle</t>
  </si>
  <si>
    <t>Ask for help from someone who understands it better</t>
  </si>
  <si>
    <t>Take control and make a decision quickly</t>
  </si>
  <si>
    <t>Review rules, policies, or past checklists to find guidance</t>
  </si>
  <si>
    <t>What type of success gives you the most satisfaction?</t>
  </si>
  <si>
    <t>Seeing a device, project, or structure physically work</t>
  </si>
  <si>
    <t>Proving a hypothesis or solving a tough logical problem</t>
  </si>
  <si>
    <t>Being appreciated for creativity or original expression</t>
  </si>
  <si>
    <t>Knowing you helped someone grow or feel better</t>
  </si>
  <si>
    <t>Winning a pitch, deal, or leadership competition</t>
  </si>
  <si>
    <t>Getting recognition for accuracy and organization</t>
  </si>
  <si>
    <t>What motivates you to start a new project?</t>
  </si>
  <si>
    <t>The opportunity to work with tools or see how something is built</t>
  </si>
  <si>
    <t>A curiosity to research and learn new insights</t>
  </si>
  <si>
    <t>The chance to express yourself uniquely</t>
  </si>
  <si>
    <t>A goal to help others or be part of a team</t>
  </si>
  <si>
    <t>A challenge to lead, achieve, or launch something</t>
  </si>
  <si>
    <t>A clearly defined structure with steps and deadlines</t>
  </si>
  <si>
    <t>Which task would you pick in a hackathon or event?</t>
  </si>
  <si>
    <t>Set up the tech gear, machines, or handle logistics</t>
  </si>
  <si>
    <t>Analyze data, find patterns, or solve a challenge analytically</t>
  </si>
  <si>
    <t>Design the poster, video, or content theme</t>
  </si>
  <si>
    <t>Be the group communicator, guide, or morale booster</t>
  </si>
  <si>
    <t>Be the team leader, presenter, or strategist</t>
  </si>
  <si>
    <t>Maintain the budget, track resources, and schedule</t>
  </si>
  <si>
    <t>What type of subject or field do you naturally enjoy more?</t>
  </si>
  <si>
    <t>Mechanical drawing, electronics, or fieldwork</t>
  </si>
  <si>
    <t>Biology, physics, psychology, or research topics</t>
  </si>
  <si>
    <t>Fine arts, music, media, or writing</t>
  </si>
  <si>
    <t>Social studies, counseling, or communication</t>
  </si>
  <si>
    <t>Business, public speaking, or entrepreneurship</t>
  </si>
  <si>
    <t>Accounting, data entry, or operations</t>
  </si>
  <si>
    <t>Which of these weekend activities would you most naturally enjoy?</t>
  </si>
  <si>
    <t>Repairing a broken electrical appliance in your home</t>
  </si>
  <si>
    <t>Solving science riddles or reading about new inventions</t>
  </si>
  <si>
    <t>Creating a digital drawing or short music piece</t>
  </si>
  <si>
    <t>Organizing a visit to an elderly care home with friends</t>
  </si>
  <si>
    <t>Leading a student club event or fundraising activity</t>
  </si>
  <si>
    <t>Rearranging your bookshelves, notes, and files into perfect order</t>
  </si>
  <si>
    <t>Which of these values feels most important to you in your future job?</t>
  </si>
  <si>
    <t>Working with machinery or physical systems</t>
  </si>
  <si>
    <t>Discovering answers through analysis and logic</t>
  </si>
  <si>
    <t>Expressing your originality or emotions</t>
  </si>
  <si>
    <t>Helping others improve or feel better</t>
  </si>
  <si>
    <t>Achieving influence, status, and recognition</t>
  </si>
  <si>
    <t>Following rules, ensuring stability and structure</t>
  </si>
  <si>
    <t>Which statement best describes how you see yourself?</t>
  </si>
  <si>
    <t>I am practical, hands-on, and action-oriented</t>
  </si>
  <si>
    <t>I am curious, logical, and like to question things</t>
  </si>
  <si>
    <t>I am expressive, sensitive, and imaginative</t>
  </si>
  <si>
    <t>I am empathetic and good at working with people</t>
  </si>
  <si>
    <t>I am confident, persuasive, and competitive</t>
  </si>
  <si>
    <t>I am detail-focused, organized, and responsible</t>
  </si>
  <si>
    <t>How do others usually describe you?</t>
  </si>
  <si>
    <t>Hardworking, dependable, and technically skilled</t>
  </si>
  <si>
    <t>Analytical, brainy, and a bit quiet</t>
  </si>
  <si>
    <t>Unique, creative, and emotionally aware</t>
  </si>
  <si>
    <t>Friendly, kind, and always ready to help</t>
  </si>
  <si>
    <t>Outgoing, talkative, and driven</t>
  </si>
  <si>
    <t>Reliable, punctual, and neat</t>
  </si>
  <si>
    <t>Which type of task do you avoid the most?</t>
  </si>
  <si>
    <t>Sitting at a desk doing the same routine all day</t>
  </si>
  <si>
    <t>Emotional conversations or dealing with people’s feelings</t>
  </si>
  <si>
    <t>Following strict rules or formal office systems</t>
  </si>
  <si>
    <t>Fixing tools or handling machines</t>
  </si>
  <si>
    <t>Working alone with no people or challenge</t>
  </si>
  <si>
    <t>Taking big risks or unpredictable jobs</t>
  </si>
  <si>
    <t>Which type of skill do you enjoy using most often?</t>
  </si>
  <si>
    <t>Using tools or handling materials physically</t>
  </si>
  <si>
    <t>Solving puzzles, analyzing problems, researching</t>
  </si>
  <si>
    <t>Drawing, writing, acting, or designing</t>
  </si>
  <si>
    <t>Listening, guiding, or teaching others</t>
  </si>
  <si>
    <t>Convincing, leading, or networking with people</t>
  </si>
  <si>
    <t>Keeping records, maintaining files, or calculating</t>
  </si>
  <si>
    <t>Which area do you feel you're naturally good at?</t>
  </si>
  <si>
    <t>Assembling or fixing things without much help</t>
  </si>
  <si>
    <t>Thinking logically and drawing conclusions</t>
  </si>
  <si>
    <t>Creating new ideas or imagining future possibilities</t>
  </si>
  <si>
    <t>Understanding others’ problems and feelings</t>
  </si>
  <si>
    <t>Taking charge and getting people to take action</t>
  </si>
  <si>
    <t>Organizing, planning, and keeping everything in order</t>
  </si>
  <si>
    <t>Which personality trait do you relate to the most?</t>
  </si>
  <si>
    <t>Down-to-earth and physically strong</t>
  </si>
  <si>
    <t>Independent and intellectually sharp</t>
  </si>
  <si>
    <t>Sensitive and original</t>
  </si>
  <si>
    <t>Caring and cooperative</t>
  </si>
  <si>
    <t>Energetic and ambitious</t>
  </si>
  <si>
    <t>Careful and rule-abiding</t>
  </si>
  <si>
    <t>Which of the following activities sounds most like something you’d enjoy?</t>
  </si>
  <si>
    <t>Constructing or repairing furniture or mechanical items</t>
  </si>
  <si>
    <t>Conducting an experiment or coding a logic problem</t>
  </si>
  <si>
    <t>Directing a play or writing a short story</t>
  </si>
  <si>
    <t>Tutoring a junior or volunteering for community work</t>
  </si>
  <si>
    <t>Starting a business or pitching a new idea</t>
  </si>
  <si>
    <t>Managing documents, spreadsheets, or data systems</t>
  </si>
  <si>
    <t>What kind of work environment would suit you best?</t>
  </si>
  <si>
    <t>A workshop, construction site, or laboratory</t>
  </si>
  <si>
    <t>A research institute, tech firm, or data center</t>
  </si>
  <si>
    <t>A design studio, music room, or art agency</t>
  </si>
  <si>
    <t>A school, hospital, or NGO office</t>
  </si>
  <si>
    <t>A sales floor, boardroom, or marketing agency</t>
  </si>
  <si>
    <t>A government office, bank, or legal department</t>
  </si>
  <si>
    <t>When given a school project, what part do you naturally enjoy most?</t>
  </si>
  <si>
    <t>Building models or setting up physical components</t>
  </si>
  <si>
    <t>Researching background data or forming hypotheses</t>
  </si>
  <si>
    <t>Designing the visuals or layout of the presentation</t>
  </si>
  <si>
    <t>Coordinating roles and supporting teammates</t>
  </si>
  <si>
    <t>Taking charge of decisions and final delivery</t>
  </si>
  <si>
    <t>Organizing the documents, timelines, and structure</t>
  </si>
  <si>
    <t>Which of these best describes your ideal daily routine at work?</t>
  </si>
  <si>
    <t>Moving around, fixing, assembling, or testing tools</t>
  </si>
  <si>
    <t>Thinking deeply, solving problems quietly</t>
  </si>
  <si>
    <t>Changing tasks often, exploring fresh ideas</t>
  </si>
  <si>
    <t>Talking with people, helping, and discussing</t>
  </si>
  <si>
    <t>Taking quick decisions, leading fast-paced work</t>
  </si>
  <si>
    <t>Following clear steps, ticking off checklist items</t>
  </si>
  <si>
    <t>In group discussions, what role do you take on naturally?</t>
  </si>
  <si>
    <t>Implementing ideas into action or finding tools</t>
  </si>
  <si>
    <t>Analyzing each point, asking logical questions</t>
  </si>
  <si>
    <t>Bringing creativity and visuals to the idea</t>
  </si>
  <si>
    <t>Ensuring no one is left out, maintaining harmony</t>
  </si>
  <si>
    <t>Summarizing and presenting the final outcome</t>
  </si>
  <si>
    <t>Keeping track of deadlines, assigning tasks</t>
  </si>
  <si>
    <t>What gives you the most personal satisfaction?</t>
  </si>
  <si>
    <t>Fixing a mechanical issue or improving a process</t>
  </si>
  <si>
    <t>Solving a tricky logic puzzle or discovering facts</t>
  </si>
  <si>
    <t>Seeing something you created appreciated</t>
  </si>
  <si>
    <t>Knowing you helped someone feel better</t>
  </si>
  <si>
    <t>Leading a team to success or achieving goals</t>
  </si>
  <si>
    <t>Completing things correctly, exactly as expected</t>
  </si>
  <si>
    <t>If you had to spend an extra hour after class, what would you prefer doing?</t>
  </si>
  <si>
    <t>Assembling a robot or making something hands-on</t>
  </si>
  <si>
    <t>Reading a science blog or solving reasoning questions</t>
  </si>
  <si>
    <t>Practicing art, dance, or creating music</t>
  </si>
  <si>
    <t>Mentoring juniors or talking to friends</t>
  </si>
  <si>
    <t>Pitching your idea to a teacher or planning an event</t>
  </si>
  <si>
    <t>Organizing your schedule or checking homework logs</t>
  </si>
  <si>
    <t>What environment would you find most draining?</t>
  </si>
  <si>
    <t>One that involves no physical activity</t>
  </si>
  <si>
    <t>One that demands excessive socializing</t>
  </si>
  <si>
    <t>One with no space for new or unusual ideas</t>
  </si>
  <si>
    <t>One that focuses only on machines or codes</t>
  </si>
  <si>
    <t>One where you must follow others all the time</t>
  </si>
  <si>
    <t>One with chaos, no routine or order</t>
  </si>
  <si>
    <t>If asked to lead a school club, which type would you choose?</t>
  </si>
  <si>
    <t>Robotics or automotive club</t>
  </si>
  <si>
    <t>Science or quiz club</t>
  </si>
  <si>
    <t>Art, music, or drama club</t>
  </si>
  <si>
    <t>Social service or peer counseling group</t>
  </si>
  <si>
    <t>Entrepreneurship or debate club</t>
  </si>
  <si>
    <t>Library, archive, or documentation club</t>
  </si>
  <si>
    <t>What work activity would make you lose track of time?</t>
  </si>
  <si>
    <t>Fixing a bicycle or assembling something</t>
  </si>
  <si>
    <t>Working on a research assignment or problem-solving</t>
  </si>
  <si>
    <t>Sketching, editing videos, or storytelling</t>
  </si>
  <si>
    <t>Talking to a friend in need or solving group issues</t>
  </si>
  <si>
    <t>Planning an event or pitching a business idea</t>
  </si>
  <si>
    <t>Making a spreadsheet or sorting files properly</t>
  </si>
  <si>
    <t>If you had to pick an elective subject, which would you enjoy most?</t>
  </si>
  <si>
    <t>Engineering Graphics or Workshop Skills</t>
  </si>
  <si>
    <t>Computer Science or Biology Research</t>
  </si>
  <si>
    <t>Fine Arts or Performing Arts</t>
  </si>
  <si>
    <t>Psychology or Community Development</t>
  </si>
  <si>
    <t>Business Studies or Leadership</t>
  </si>
  <si>
    <t>Accounting or Office Management</t>
  </si>
  <si>
    <t>You feel the most confident when…</t>
  </si>
  <si>
    <t>You’re fixing or building something tangible</t>
  </si>
  <si>
    <t>You’ve figured out a complex theory</t>
  </si>
  <si>
    <t>You express yourself creatively and it's appreciated</t>
  </si>
  <si>
    <t>Someone thanks you for your emotional support</t>
  </si>
  <si>
    <t>You’re leading a team or speaking confidently</t>
  </si>
  <si>
    <t>You’ve completed tasks flawlessly and on time</t>
  </si>
  <si>
    <t>Which type of task excites you the most?</t>
  </si>
  <si>
    <t>Using tools or machines to fix or build something</t>
  </si>
  <si>
    <t>Investigating, experimenting, or exploring data</t>
  </si>
  <si>
    <t>Designing logos, sets, or new creative works</t>
  </si>
  <si>
    <t>Helping people overcome challenges or feel better</t>
  </si>
  <si>
    <t>Convincing others to support your idea</t>
  </si>
  <si>
    <t>Completing administrative forms or organizing files</t>
  </si>
  <si>
    <t>Which school club would you most enjoy managing?</t>
  </si>
  <si>
    <t>DIY Tech or Drone Club</t>
  </si>
  <si>
    <t>Coding or Astronomy Club</t>
  </si>
  <si>
    <t>Photography or Performing Arts Club</t>
  </si>
  <si>
    <t>Mental Health Peer Group</t>
  </si>
  <si>
    <t>Entrepreneurship or Debate Club</t>
  </si>
  <si>
    <t>Record-Keeping or Academic Planning Club</t>
  </si>
  <si>
    <t>What’s your favorite way to learn something new?</t>
  </si>
  <si>
    <t>By trying it out physically or practically</t>
  </si>
  <si>
    <t>Through observation, analysis, or reading research</t>
  </si>
  <si>
    <t>By experimenting and expressing freely</t>
  </si>
  <si>
    <t>Through group discussion or shared experiences</t>
  </si>
  <si>
    <t>Through challenge, real-world application, or pitching</t>
  </si>
  <si>
    <t>By using structured notes, templates, or steps</t>
  </si>
  <si>
    <t>What kind of work makes you feel the most “in control”?</t>
  </si>
  <si>
    <t>When using machines or working hands-on</t>
  </si>
  <si>
    <t>When solving puzzles, data problems, or scientific issues</t>
  </si>
  <si>
    <t>When creating visuals, music, or expressive content</t>
  </si>
  <si>
    <t>When supporting a friend or helping a team emotionally</t>
  </si>
  <si>
    <t>When making quick decisions or negotiating</t>
  </si>
  <si>
    <t>When organizing systems and planning efficiently</t>
  </si>
  <si>
    <t>What does your dream project look like?</t>
  </si>
  <si>
    <t>Building something functional and physical</t>
  </si>
  <si>
    <t>Conducting a meaningful research experiment</t>
  </si>
  <si>
    <t>Creating a film, campaign, or art exhibit</t>
  </si>
  <si>
    <t>Running a community outreach program</t>
  </si>
  <si>
    <t>Launching your own startup or brand</t>
  </si>
  <si>
    <t>Designing and maintaining a data filing system</t>
  </si>
  <si>
    <t>What type of task do you dislike most?</t>
  </si>
  <si>
    <t>Sitting still for too long without moving</t>
  </si>
  <si>
    <t>Being forced to accept answers without proof</t>
  </si>
  <si>
    <t>Doing routine work with no space for ideas</t>
  </si>
  <si>
    <t>Working in isolation without interaction</t>
  </si>
  <si>
    <t>Following orders without taking initiative</t>
  </si>
  <si>
    <t>Managing unpredictable or unstructured situations</t>
  </si>
  <si>
    <t>In your group, which strength do you contribute?</t>
  </si>
  <si>
    <t>Practical execution – building or fixing things</t>
  </si>
  <si>
    <t>Deep thinking – analyzing, researching</t>
  </si>
  <si>
    <t>Creativity – new ideas, aesthetics, or visuals</t>
  </si>
  <si>
    <t>Emotional support – resolving tension or helping others</t>
  </si>
  <si>
    <t>Vision – leading, motivating, or decision-making</t>
  </si>
  <si>
    <t>Structure – scheduling, listing, or quality checking</t>
  </si>
  <si>
    <t>Which phrase fits you best?</t>
  </si>
  <si>
    <t>I’m good at repairing, assembling, or operating tools</t>
  </si>
  <si>
    <t>I like to question, explore, and make logical sense of things</t>
  </si>
  <si>
    <t>I love to express myself in creative and original ways</t>
  </si>
  <si>
    <t>I care deeply about how others feel and act accordingly</t>
  </si>
  <si>
    <t>I’m a natural persuader and confident in leading others</t>
  </si>
  <si>
    <t>I find satisfaction in being precise, punctual, and orderly</t>
  </si>
  <si>
    <t>How do you like to work through challenges?</t>
  </si>
  <si>
    <t>Try it yourself, hands-on, until you fix it</t>
  </si>
  <si>
    <t>Break it down logically and test possibilities</t>
  </si>
  <si>
    <t>Look for inspiration or shift your perspective</t>
  </si>
  <si>
    <t>Talk it out with someone or offer emotional support</t>
  </si>
  <si>
    <t>Take control and delegate if needed</t>
  </si>
  <si>
    <t>Organize all related information and go step-by-step</t>
  </si>
  <si>
    <t>If you were given ₹1 lakh to start a mini-project, what would you do?</t>
  </si>
  <si>
    <t>Build a new machine or create a model</t>
  </si>
  <si>
    <t>Launch a research-based product or app</t>
  </si>
  <si>
    <t>Host a design workshop or art exhibit</t>
  </si>
  <si>
    <t>Organize a free mental health awareness camp</t>
  </si>
  <si>
    <t>Start a student business or marketing challenge</t>
  </si>
  <si>
    <t>Set up a career documentation system for your school</t>
  </si>
  <si>
    <t>You’re helping at a school fair. Which task would you choose?</t>
  </si>
  <si>
    <t>Set up stalls and do electrical arrangements</t>
  </si>
  <si>
    <t>Create a visitor map and analyze crowd flow</t>
  </si>
  <si>
    <t>Decorate the stage and plan music</t>
  </si>
  <si>
    <t>Guide guests and help parents find things</t>
  </si>
  <si>
    <t>Be the event announcer or manage the mic</t>
  </si>
  <si>
    <t>Maintain the list of items and ticket details</t>
  </si>
  <si>
    <t>You're in a team project. What part do you take up first?</t>
  </si>
  <si>
    <t>Build or test something physically</t>
  </si>
  <si>
    <t>Research and gather data</t>
  </si>
  <si>
    <t>Design the layout or presentation</t>
  </si>
  <si>
    <t>Handle group coordination and harmony</t>
  </si>
  <si>
    <t>Lead the discussion and assign roles</t>
  </si>
  <si>
    <t>Create the task schedule and checklist</t>
  </si>
  <si>
    <t>How do you prefer to spend your weekend?</t>
  </si>
  <si>
    <t>Repairing something or doing crafts</t>
  </si>
  <si>
    <t>Watching documentaries or solving puzzles</t>
  </si>
  <si>
    <t>Painting, singing, or writing</t>
  </si>
  <si>
    <t>Volunteering or helping a friend</t>
  </si>
  <si>
    <t>Hosting a small meet-up or activity</t>
  </si>
  <si>
    <t>Cleaning your room or organizing things</t>
  </si>
  <si>
    <t>You have a free period in school. What would you like to do?</t>
  </si>
  <si>
    <t>Help your science teacher fix lab equipment</t>
  </si>
  <si>
    <t>Read something interesting on how things work</t>
  </si>
  <si>
    <t>Sketch or doodle in your notebook</t>
  </si>
  <si>
    <t>Sit with a classmate who looks upset</t>
  </si>
  <si>
    <t>Try to gather friends and play a game</t>
  </si>
  <si>
    <t>Update your notes and sort your file</t>
  </si>
  <si>
    <t>A neighbor needs help. What would you enjoy doing?</t>
  </si>
  <si>
    <t>Repairing their bicycle or helping with tools</t>
  </si>
  <si>
    <t>Searching online for the best solution to their problem</t>
  </si>
  <si>
    <t>Making a birthday card for their child</t>
  </si>
  <si>
    <t>Talking to them and giving comfort</t>
  </si>
  <si>
    <t>Helping them write a letter or negotiate something</t>
  </si>
  <si>
    <t>Helping with bills, papers, or forms</t>
  </si>
  <si>
    <t>During a class presentation, which role excites you most?</t>
  </si>
  <si>
    <t>Create working models or handle equipment</t>
  </si>
  <si>
    <t>Do research and add facts or stats</t>
  </si>
  <si>
    <t>Design the slides and visual effects</t>
  </si>
  <si>
    <t>Explain in a friendly way so everyone understands</t>
  </si>
  <si>
    <t>Speak confidently and answer questions</t>
  </si>
  <si>
    <t>Time the presentation and handle structure</t>
  </si>
  <si>
    <t>You're planning a small event with friends. What's your style?</t>
  </si>
  <si>
    <t>Make things yourself—stage, setup, or seating</t>
  </si>
  <si>
    <t>Plan the schedule after gathering everyone’s opinions</t>
  </si>
  <si>
    <t>Focus on decorations and theme ideas</t>
  </si>
  <si>
    <t>Make sure everyone feels included and comfortable</t>
  </si>
  <si>
    <t>Lead the team and handle decisions</t>
  </si>
  <si>
    <t>Write all tasks and make sure they're tracked</t>
  </si>
  <si>
    <t>You found ₹500 on the ground. What will you most likely do?</t>
  </si>
  <si>
    <t>Try to find where it fell by checking the area</t>
  </si>
  <si>
    <t>Ask around or use logical thinking to guess whose it might be</t>
  </si>
  <si>
    <t>Make a lost-and-found poster in your style</t>
  </si>
  <si>
    <t>Wait near the place to see if someone comes looking</t>
  </si>
  <si>
    <t>Inform the nearest teacher or authority right away</t>
  </si>
  <si>
    <t>Write down the exact place, time, and submit to lost &amp; found</t>
  </si>
  <si>
    <t>Your favorite school memory involves...</t>
  </si>
  <si>
    <t>Building a working model or craft</t>
  </si>
  <si>
    <t>Winning a quiz or science competition</t>
  </si>
  <si>
    <t>Performing on stage or creating a wall display</t>
  </si>
  <si>
    <t>Helping a friend in need or comforting someone</t>
  </si>
  <si>
    <t>Leading a campaign or being part of the student council</t>
  </si>
  <si>
    <t>Organizing a school event, filing or documenting things</t>
  </si>
  <si>
    <t>If you had to pick a summer camp activity, you’d choose:</t>
  </si>
  <si>
    <t>Robotics or carpentry</t>
  </si>
  <si>
    <t>Codebreaking, experiments, or logic games</t>
  </si>
  <si>
    <t>Theatre, music, or art</t>
  </si>
  <si>
    <t>Community help or group bonding</t>
  </si>
  <si>
    <t>Pitching business ideas or leadership games</t>
  </si>
  <si>
    <t>Workshop on time management and planning</t>
  </si>
  <si>
    <t>QUESTION</t>
  </si>
  <si>
    <t>ANSWER</t>
  </si>
  <si>
    <t>Q:NO</t>
  </si>
  <si>
    <t>TRAIT</t>
  </si>
  <si>
    <t>R</t>
  </si>
  <si>
    <t>I</t>
  </si>
  <si>
    <t>A</t>
  </si>
  <si>
    <t>S</t>
  </si>
  <si>
    <t>E</t>
  </si>
  <si>
    <t>C</t>
  </si>
  <si>
    <t>SCORE</t>
  </si>
  <si>
    <t>CONTACT :</t>
  </si>
  <si>
    <t>NAME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</si>
</sst>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8"/>
      <color theme="1"/>
      <name val="HP Simplified"/>
      <family val="2"/>
    </font>
    <font>
      <sz val="18"/>
      <color theme="0"/>
      <name val="HP Simplified"/>
      <family val="2"/>
    </font>
    <font>
      <sz val="14"/>
      <color theme="4" tint="0.39997558519241921"/>
      <name val="HP Simplified"/>
      <family val="2"/>
    </font>
    <font>
      <sz val="14"/>
      <color theme="1"/>
      <name val="HP Simplified"/>
      <family val="2"/>
    </font>
    <font>
      <sz val="14"/>
      <color theme="0" tint="-4.9989318521683403E-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92D050"/>
      <name val="Calibri"/>
      <family val="2"/>
      <scheme val="minor"/>
    </font>
    <font>
      <sz val="18"/>
      <color rgb="FF92D050"/>
      <name val="HP Simplified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5" fillId="4" borderId="1" xfId="0" applyFont="1" applyFill="1" applyBorder="1"/>
    <xf numFmtId="0" fontId="4" fillId="3" borderId="1" xfId="0" applyFont="1" applyFill="1" applyBorder="1"/>
    <xf numFmtId="0" fontId="6" fillId="5" borderId="1" xfId="0" applyFont="1" applyFill="1" applyBorder="1"/>
    <xf numFmtId="0" fontId="7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0" xfId="0" applyFont="1" applyFill="1"/>
    <xf numFmtId="0" fontId="6" fillId="5" borderId="1" xfId="0" applyFont="1" applyFill="1" applyBorder="1" applyProtection="1">
      <protection locked="0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61426</xdr:colOff>
      <xdr:row>0</xdr:row>
      <xdr:rowOff>46468</xdr:rowOff>
    </xdr:from>
    <xdr:to>
      <xdr:col>3</xdr:col>
      <xdr:colOff>42949</xdr:colOff>
      <xdr:row>3</xdr:row>
      <xdr:rowOff>194822</xdr:rowOff>
    </xdr:to>
    <xdr:sp macro="" textlink="">
      <xdr:nvSpPr>
        <xdr:cNvPr id="2" name="Rectangle: Top Corners Rounded 1">
          <a:extLst>
            <a:ext uri="{FF2B5EF4-FFF2-40B4-BE49-F238E27FC236}">
              <a16:creationId xmlns:a16="http://schemas.microsoft.com/office/drawing/2014/main" id="{D8689FF9-664B-62AF-E5B3-994AF6937AD4}"/>
            </a:ext>
          </a:extLst>
        </xdr:cNvPr>
        <xdr:cNvSpPr/>
      </xdr:nvSpPr>
      <xdr:spPr>
        <a:xfrm>
          <a:off x="61426" y="46468"/>
          <a:ext cx="12873178" cy="1000409"/>
        </a:xfrm>
        <a:prstGeom prst="round2SameRect">
          <a:avLst/>
        </a:prstGeom>
        <a:gradFill flip="none" rotWithShape="1">
          <a:gsLst>
            <a:gs pos="0">
              <a:schemeClr val="accent1">
                <a:lumMod val="75000"/>
                <a:shade val="30000"/>
                <a:satMod val="115000"/>
              </a:schemeClr>
            </a:gs>
            <a:gs pos="50000">
              <a:schemeClr val="accent1">
                <a:lumMod val="75000"/>
                <a:shade val="67500"/>
                <a:satMod val="115000"/>
              </a:schemeClr>
            </a:gs>
            <a:gs pos="100000">
              <a:schemeClr val="accent1">
                <a:lumMod val="75000"/>
                <a:shade val="100000"/>
                <a:satMod val="115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3701514</xdr:colOff>
      <xdr:row>0</xdr:row>
      <xdr:rowOff>54195</xdr:rowOff>
    </xdr:from>
    <xdr:ext cx="4685065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39AA81-FB81-DB55-C267-968EFA3804EB}"/>
            </a:ext>
          </a:extLst>
        </xdr:cNvPr>
        <xdr:cNvSpPr/>
      </xdr:nvSpPr>
      <xdr:spPr>
        <a:xfrm>
          <a:off x="4311114" y="54195"/>
          <a:ext cx="468506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gradFill flip="none" rotWithShape="1">
                <a:gsLst>
                  <a:gs pos="0">
                    <a:schemeClr val="accent1">
                      <a:lumMod val="50000"/>
                      <a:shade val="30000"/>
                      <a:satMod val="115000"/>
                    </a:schemeClr>
                  </a:gs>
                  <a:gs pos="50000">
                    <a:schemeClr val="accent1">
                      <a:lumMod val="50000"/>
                      <a:shade val="67500"/>
                      <a:satMod val="115000"/>
                    </a:schemeClr>
                  </a:gs>
                  <a:gs pos="100000">
                    <a:schemeClr val="accent1">
                      <a:lumMod val="50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RAJAGIRI X ERA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84C5-7519-4A49-A1E1-AF770D8BE68E}">
  <sheetPr>
    <tabColor theme="9" tint="0.39997558519241921"/>
  </sheetPr>
  <dimension ref="A1:C57"/>
  <sheetViews>
    <sheetView tabSelected="1" zoomScale="89" zoomScaleNormal="100" workbookViewId="0">
      <selection activeCell="C10" sqref="C10"/>
    </sheetView>
  </sheetViews>
  <sheetFormatPr defaultRowHeight="22.2" x14ac:dyDescent="0.35"/>
  <cols>
    <col min="1" max="1" width="5" bestFit="1" customWidth="1"/>
    <col min="2" max="2" width="46.375" bestFit="1" customWidth="1"/>
    <col min="3" max="3" width="54.375" style="6" bestFit="1" customWidth="1"/>
    <col min="4" max="4" width="35.4375" bestFit="1" customWidth="1"/>
    <col min="5" max="5" width="45.5625" bestFit="1" customWidth="1"/>
  </cols>
  <sheetData>
    <row r="1" spans="1:3" x14ac:dyDescent="0.35">
      <c r="A1" s="9"/>
      <c r="B1" s="9"/>
      <c r="C1" s="9"/>
    </row>
    <row r="2" spans="1:3" x14ac:dyDescent="0.35">
      <c r="A2" s="9"/>
      <c r="B2" s="9"/>
      <c r="C2" s="9"/>
    </row>
    <row r="3" spans="1:3" x14ac:dyDescent="0.35">
      <c r="A3" s="9"/>
      <c r="B3" s="9"/>
      <c r="C3" s="9"/>
    </row>
    <row r="4" spans="1:3" x14ac:dyDescent="0.35">
      <c r="A4" s="9"/>
      <c r="B4" s="9"/>
      <c r="C4" s="9"/>
    </row>
    <row r="5" spans="1:3" x14ac:dyDescent="0.35">
      <c r="A5" s="9"/>
      <c r="B5" s="11" t="s">
        <v>369</v>
      </c>
      <c r="C5" s="12"/>
    </row>
    <row r="6" spans="1:3" x14ac:dyDescent="0.35">
      <c r="A6" s="9"/>
      <c r="B6" s="11" t="s">
        <v>368</v>
      </c>
      <c r="C6" s="12"/>
    </row>
    <row r="7" spans="1:3" ht="23.4" x14ac:dyDescent="0.45">
      <c r="A7" s="3" t="s">
        <v>359</v>
      </c>
      <c r="B7" s="3" t="s">
        <v>357</v>
      </c>
      <c r="C7" s="5" t="s">
        <v>358</v>
      </c>
    </row>
    <row r="8" spans="1:3" ht="23.4" x14ac:dyDescent="0.45">
      <c r="A8" s="4">
        <v>1</v>
      </c>
      <c r="B8" s="4" t="s">
        <v>7</v>
      </c>
      <c r="C8" s="10"/>
    </row>
    <row r="9" spans="1:3" ht="23.4" x14ac:dyDescent="0.45">
      <c r="A9" s="4">
        <v>2</v>
      </c>
      <c r="B9" s="4" t="s">
        <v>14</v>
      </c>
      <c r="C9" s="10"/>
    </row>
    <row r="10" spans="1:3" ht="23.4" x14ac:dyDescent="0.45">
      <c r="A10" s="4">
        <v>3</v>
      </c>
      <c r="B10" s="4" t="s">
        <v>21</v>
      </c>
      <c r="C10" s="10"/>
    </row>
    <row r="11" spans="1:3" ht="23.4" x14ac:dyDescent="0.45">
      <c r="A11" s="4">
        <v>4</v>
      </c>
      <c r="B11" s="4" t="s">
        <v>28</v>
      </c>
      <c r="C11" s="10"/>
    </row>
    <row r="12" spans="1:3" ht="23.4" x14ac:dyDescent="0.45">
      <c r="A12" s="4">
        <v>5</v>
      </c>
      <c r="B12" s="4" t="s">
        <v>35</v>
      </c>
      <c r="C12" s="10"/>
    </row>
    <row r="13" spans="1:3" ht="23.4" x14ac:dyDescent="0.45">
      <c r="A13" s="4">
        <v>6</v>
      </c>
      <c r="B13" s="4" t="s">
        <v>42</v>
      </c>
      <c r="C13" s="10"/>
    </row>
    <row r="14" spans="1:3" ht="23.4" x14ac:dyDescent="0.45">
      <c r="A14" s="4">
        <v>7</v>
      </c>
      <c r="B14" s="4" t="s">
        <v>49</v>
      </c>
      <c r="C14" s="10"/>
    </row>
    <row r="15" spans="1:3" ht="23.4" x14ac:dyDescent="0.45">
      <c r="A15" s="4">
        <v>8</v>
      </c>
      <c r="B15" s="4" t="s">
        <v>56</v>
      </c>
      <c r="C15" s="10"/>
    </row>
    <row r="16" spans="1:3" ht="23.4" x14ac:dyDescent="0.45">
      <c r="A16" s="4">
        <v>9</v>
      </c>
      <c r="B16" s="4" t="s">
        <v>63</v>
      </c>
      <c r="C16" s="10"/>
    </row>
    <row r="17" spans="1:3" ht="23.4" x14ac:dyDescent="0.45">
      <c r="A17" s="4">
        <v>10</v>
      </c>
      <c r="B17" s="4" t="s">
        <v>70</v>
      </c>
      <c r="C17" s="10"/>
    </row>
    <row r="18" spans="1:3" ht="23.4" x14ac:dyDescent="0.45">
      <c r="A18" s="4">
        <v>11</v>
      </c>
      <c r="B18" s="4" t="s">
        <v>77</v>
      </c>
      <c r="C18" s="10"/>
    </row>
    <row r="19" spans="1:3" ht="23.4" x14ac:dyDescent="0.45">
      <c r="A19" s="4">
        <v>12</v>
      </c>
      <c r="B19" s="4" t="s">
        <v>84</v>
      </c>
      <c r="C19" s="10"/>
    </row>
    <row r="20" spans="1:3" ht="23.4" x14ac:dyDescent="0.45">
      <c r="A20" s="4">
        <v>13</v>
      </c>
      <c r="B20" s="4" t="s">
        <v>91</v>
      </c>
      <c r="C20" s="10"/>
    </row>
    <row r="21" spans="1:3" ht="23.4" x14ac:dyDescent="0.45">
      <c r="A21" s="4">
        <v>14</v>
      </c>
      <c r="B21" s="4" t="s">
        <v>98</v>
      </c>
      <c r="C21" s="10"/>
    </row>
    <row r="22" spans="1:3" ht="23.4" x14ac:dyDescent="0.45">
      <c r="A22" s="4">
        <v>15</v>
      </c>
      <c r="B22" s="4" t="s">
        <v>105</v>
      </c>
      <c r="C22" s="10"/>
    </row>
    <row r="23" spans="1:3" ht="23.4" x14ac:dyDescent="0.45">
      <c r="A23" s="4">
        <v>16</v>
      </c>
      <c r="B23" s="4" t="s">
        <v>112</v>
      </c>
      <c r="C23" s="10"/>
    </row>
    <row r="24" spans="1:3" ht="23.4" x14ac:dyDescent="0.45">
      <c r="A24" s="4">
        <v>17</v>
      </c>
      <c r="B24" s="4" t="s">
        <v>119</v>
      </c>
      <c r="C24" s="10"/>
    </row>
    <row r="25" spans="1:3" ht="23.4" x14ac:dyDescent="0.45">
      <c r="A25" s="4">
        <v>18</v>
      </c>
      <c r="B25" s="4" t="s">
        <v>126</v>
      </c>
      <c r="C25" s="10"/>
    </row>
    <row r="26" spans="1:3" ht="23.4" x14ac:dyDescent="0.45">
      <c r="A26" s="4">
        <v>19</v>
      </c>
      <c r="B26" s="4" t="s">
        <v>133</v>
      </c>
      <c r="C26" s="10"/>
    </row>
    <row r="27" spans="1:3" ht="23.4" x14ac:dyDescent="0.45">
      <c r="A27" s="4">
        <v>20</v>
      </c>
      <c r="B27" s="4" t="s">
        <v>140</v>
      </c>
      <c r="C27" s="10"/>
    </row>
    <row r="28" spans="1:3" ht="23.4" x14ac:dyDescent="0.45">
      <c r="A28" s="4">
        <v>21</v>
      </c>
      <c r="B28" s="4" t="s">
        <v>147</v>
      </c>
      <c r="C28" s="10"/>
    </row>
    <row r="29" spans="1:3" ht="23.4" x14ac:dyDescent="0.45">
      <c r="A29" s="4">
        <v>22</v>
      </c>
      <c r="B29" s="4" t="s">
        <v>154</v>
      </c>
      <c r="C29" s="10"/>
    </row>
    <row r="30" spans="1:3" ht="23.4" x14ac:dyDescent="0.45">
      <c r="A30" s="4">
        <v>23</v>
      </c>
      <c r="B30" s="4" t="s">
        <v>161</v>
      </c>
      <c r="C30" s="10"/>
    </row>
    <row r="31" spans="1:3" ht="23.4" x14ac:dyDescent="0.45">
      <c r="A31" s="4">
        <v>24</v>
      </c>
      <c r="B31" s="4" t="s">
        <v>168</v>
      </c>
      <c r="C31" s="10"/>
    </row>
    <row r="32" spans="1:3" ht="23.4" x14ac:dyDescent="0.45">
      <c r="A32" s="4">
        <v>25</v>
      </c>
      <c r="B32" s="4" t="s">
        <v>175</v>
      </c>
      <c r="C32" s="10"/>
    </row>
    <row r="33" spans="1:3" ht="23.4" x14ac:dyDescent="0.45">
      <c r="A33" s="4">
        <v>26</v>
      </c>
      <c r="B33" s="4" t="s">
        <v>182</v>
      </c>
      <c r="C33" s="10"/>
    </row>
    <row r="34" spans="1:3" ht="23.4" x14ac:dyDescent="0.45">
      <c r="A34" s="4">
        <v>27</v>
      </c>
      <c r="B34" s="4" t="s">
        <v>189</v>
      </c>
      <c r="C34" s="10"/>
    </row>
    <row r="35" spans="1:3" ht="23.4" x14ac:dyDescent="0.45">
      <c r="A35" s="4">
        <v>28</v>
      </c>
      <c r="B35" s="4" t="s">
        <v>196</v>
      </c>
      <c r="C35" s="10"/>
    </row>
    <row r="36" spans="1:3" ht="23.4" x14ac:dyDescent="0.45">
      <c r="A36" s="4">
        <v>29</v>
      </c>
      <c r="B36" s="4" t="s">
        <v>203</v>
      </c>
      <c r="C36" s="10"/>
    </row>
    <row r="37" spans="1:3" ht="23.4" x14ac:dyDescent="0.45">
      <c r="A37" s="4">
        <v>30</v>
      </c>
      <c r="B37" s="4" t="s">
        <v>210</v>
      </c>
      <c r="C37" s="10"/>
    </row>
    <row r="38" spans="1:3" ht="23.4" x14ac:dyDescent="0.45">
      <c r="A38" s="4">
        <v>31</v>
      </c>
      <c r="B38" s="4" t="s">
        <v>217</v>
      </c>
      <c r="C38" s="10"/>
    </row>
    <row r="39" spans="1:3" ht="23.4" x14ac:dyDescent="0.45">
      <c r="A39" s="4">
        <v>32</v>
      </c>
      <c r="B39" s="4" t="s">
        <v>224</v>
      </c>
      <c r="C39" s="10"/>
    </row>
    <row r="40" spans="1:3" ht="23.4" x14ac:dyDescent="0.45">
      <c r="A40" s="4">
        <v>33</v>
      </c>
      <c r="B40" s="4" t="s">
        <v>231</v>
      </c>
      <c r="C40" s="10"/>
    </row>
    <row r="41" spans="1:3" ht="23.4" x14ac:dyDescent="0.45">
      <c r="A41" s="4">
        <v>34</v>
      </c>
      <c r="B41" s="4" t="s">
        <v>238</v>
      </c>
      <c r="C41" s="10"/>
    </row>
    <row r="42" spans="1:3" ht="23.4" x14ac:dyDescent="0.45">
      <c r="A42" s="4">
        <v>35</v>
      </c>
      <c r="B42" s="4" t="s">
        <v>245</v>
      </c>
      <c r="C42" s="10"/>
    </row>
    <row r="43" spans="1:3" ht="23.4" x14ac:dyDescent="0.45">
      <c r="A43" s="4">
        <v>36</v>
      </c>
      <c r="B43" s="4" t="s">
        <v>252</v>
      </c>
      <c r="C43" s="10"/>
    </row>
    <row r="44" spans="1:3" ht="23.4" x14ac:dyDescent="0.45">
      <c r="A44" s="4">
        <v>37</v>
      </c>
      <c r="B44" s="4" t="s">
        <v>259</v>
      </c>
      <c r="C44" s="10"/>
    </row>
    <row r="45" spans="1:3" ht="23.4" x14ac:dyDescent="0.45">
      <c r="A45" s="4">
        <v>38</v>
      </c>
      <c r="B45" s="4" t="s">
        <v>266</v>
      </c>
      <c r="C45" s="10"/>
    </row>
    <row r="46" spans="1:3" ht="23.4" x14ac:dyDescent="0.45">
      <c r="A46" s="4">
        <v>39</v>
      </c>
      <c r="B46" s="4" t="s">
        <v>273</v>
      </c>
      <c r="C46" s="10"/>
    </row>
    <row r="47" spans="1:3" ht="23.4" x14ac:dyDescent="0.45">
      <c r="A47" s="4">
        <v>40</v>
      </c>
      <c r="B47" s="4" t="s">
        <v>280</v>
      </c>
      <c r="C47" s="10"/>
    </row>
    <row r="48" spans="1:3" ht="23.4" x14ac:dyDescent="0.45">
      <c r="A48" s="4">
        <v>41</v>
      </c>
      <c r="B48" s="4" t="s">
        <v>287</v>
      </c>
      <c r="C48" s="10"/>
    </row>
    <row r="49" spans="1:3" ht="23.4" x14ac:dyDescent="0.45">
      <c r="A49" s="4">
        <v>42</v>
      </c>
      <c r="B49" s="4" t="s">
        <v>294</v>
      </c>
      <c r="C49" s="10"/>
    </row>
    <row r="50" spans="1:3" ht="23.4" x14ac:dyDescent="0.45">
      <c r="A50" s="4">
        <v>43</v>
      </c>
      <c r="B50" s="4" t="s">
        <v>301</v>
      </c>
      <c r="C50" s="10"/>
    </row>
    <row r="51" spans="1:3" ht="23.4" x14ac:dyDescent="0.45">
      <c r="A51" s="4">
        <v>44</v>
      </c>
      <c r="B51" s="4" t="s">
        <v>308</v>
      </c>
      <c r="C51" s="10"/>
    </row>
    <row r="52" spans="1:3" ht="23.4" x14ac:dyDescent="0.45">
      <c r="A52" s="4">
        <v>45</v>
      </c>
      <c r="B52" s="4" t="s">
        <v>315</v>
      </c>
      <c r="C52" s="10"/>
    </row>
    <row r="53" spans="1:3" ht="23.4" x14ac:dyDescent="0.45">
      <c r="A53" s="4">
        <v>46</v>
      </c>
      <c r="B53" s="4" t="s">
        <v>322</v>
      </c>
      <c r="C53" s="10"/>
    </row>
    <row r="54" spans="1:3" ht="23.4" x14ac:dyDescent="0.45">
      <c r="A54" s="4">
        <v>47</v>
      </c>
      <c r="B54" s="4" t="s">
        <v>329</v>
      </c>
      <c r="C54" s="10"/>
    </row>
    <row r="55" spans="1:3" ht="23.4" x14ac:dyDescent="0.45">
      <c r="A55" s="4">
        <v>48</v>
      </c>
      <c r="B55" s="4" t="s">
        <v>336</v>
      </c>
      <c r="C55" s="10"/>
    </row>
    <row r="56" spans="1:3" ht="23.4" x14ac:dyDescent="0.45">
      <c r="A56" s="4">
        <v>49</v>
      </c>
      <c r="B56" s="4" t="s">
        <v>343</v>
      </c>
      <c r="C56" s="10"/>
    </row>
    <row r="57" spans="1:3" ht="23.4" x14ac:dyDescent="0.45">
      <c r="A57" s="4">
        <v>50</v>
      </c>
      <c r="B57" s="4" t="s">
        <v>350</v>
      </c>
      <c r="C57" s="10"/>
    </row>
  </sheetData>
  <sheetProtection algorithmName="SHA-512" hashValue="Bq/4x4V4XeeWXg3MLjul02mM7zKTUsHjtNgrR5TloNeOij6uZXGiTq6zf8m2Am0YPJsV+qP8yypAiYDuldXnmw==" saltValue="yTFC9IvOP7OTjZG5ZYBxDA==" spinCount="100000" sheet="1" objects="1" scenario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0"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2E268968-2D65-4EE8-8C12-60E9241BE5AF}">
          <x14:formula1>
            <xm:f>DATA!$B$2:$G$2</xm:f>
          </x14:formula1>
          <xm:sqref>C8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62B4E0A4-34EB-4D40-8A9F-A308827DDD92}">
          <x14:formula1>
            <xm:f>DATA!$B$3:$G$3</xm:f>
          </x14:formula1>
          <xm:sqref>C9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CCEC36B-F469-4FFE-BF36-379EDC42683E}">
          <x14:formula1>
            <xm:f>DATA!$B$4:$G$4</xm:f>
          </x14:formula1>
          <xm:sqref>C10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3920CD90-4F1F-4A01-ADEC-C64E8BCA4961}">
          <x14:formula1>
            <xm:f>DATA!$B$5:$G$5</xm:f>
          </x14:formula1>
          <xm:sqref>C11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CDF4F78-EB49-40D7-97A0-24BB2463F5B9}">
          <x14:formula1>
            <xm:f>DATA!$B$6:$G$6</xm:f>
          </x14:formula1>
          <xm:sqref>C12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901E2881-D780-4E62-9345-4EA0E889987E}">
          <x14:formula1>
            <xm:f>DATA!$B$7:$G$7</xm:f>
          </x14:formula1>
          <xm:sqref>C13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DEED91C-32E2-465D-B5A6-7EA419A80D9E}">
          <x14:formula1>
            <xm:f>DATA!$B$8:$G$8</xm:f>
          </x14:formula1>
          <xm:sqref>C14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123FE7E1-B7AD-4461-9359-06875313E276}">
          <x14:formula1>
            <xm:f>DATA!$B$9:$G$9</xm:f>
          </x14:formula1>
          <xm:sqref>C15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F57EBAED-07BB-414A-AEF9-6A4732055B6A}">
          <x14:formula1>
            <xm:f>DATA!$B$10:$G$10</xm:f>
          </x14:formula1>
          <xm:sqref>C16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AA2E48F1-A183-4D9E-9ED1-18C447195D22}">
          <x14:formula1>
            <xm:f>DATA!$B$11:$G$11</xm:f>
          </x14:formula1>
          <xm:sqref>C17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B8E32C9D-4A91-446C-B2E4-7F88556B49B6}">
          <x14:formula1>
            <xm:f>DATA!$B$12:$G$12</xm:f>
          </x14:formula1>
          <xm:sqref>C18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48FF2E2D-F858-4BC9-8284-E6A42F264A57}">
          <x14:formula1>
            <xm:f>DATA!$B$13:$G$13</xm:f>
          </x14:formula1>
          <xm:sqref>C19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C2D7F0DD-9535-458F-BB33-1459D22C18B3}">
          <x14:formula1>
            <xm:f>DATA!$B$14:$G$14</xm:f>
          </x14:formula1>
          <xm:sqref>C20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CC4781E-BF9D-4530-A3DC-63EE334EC2B0}">
          <x14:formula1>
            <xm:f>DATA!$B$15:$G$15</xm:f>
          </x14:formula1>
          <xm:sqref>C21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DD3AAFFE-44EC-45EF-B294-18C1CBEE083E}">
          <x14:formula1>
            <xm:f>DATA!$B$16:$G$16</xm:f>
          </x14:formula1>
          <xm:sqref>C22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E71B1F27-E08E-4F3F-AA8D-ECD0568EEA05}">
          <x14:formula1>
            <xm:f>DATA!$B$17:$G$17</xm:f>
          </x14:formula1>
          <xm:sqref>C23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2B8FAE59-A387-4D59-BE2C-34874F06196F}">
          <x14:formula1>
            <xm:f>DATA!$B$18:$G$18</xm:f>
          </x14:formula1>
          <xm:sqref>C24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EFDB7708-7241-476B-925E-070A24CB8F9E}">
          <x14:formula1>
            <xm:f>DATA!$B$19:$G$19</xm:f>
          </x14:formula1>
          <xm:sqref>C25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ED7B82D9-1738-4FA3-BD08-ED8A00EF96DA}">
          <x14:formula1>
            <xm:f>DATA!$B$20:$G$20</xm:f>
          </x14:formula1>
          <xm:sqref>C26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6B60AA5A-E2DB-49ED-ACB4-7C40D7D35655}">
          <x14:formula1>
            <xm:f>DATA!$B$21:$G$21</xm:f>
          </x14:formula1>
          <xm:sqref>C27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C723123A-9C8E-4208-9137-7807A55A0442}">
          <x14:formula1>
            <xm:f>DATA!$B$22:$G$22</xm:f>
          </x14:formula1>
          <xm:sqref>C28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651308C5-7CCF-4479-A6A9-1CC582CDF8CB}">
          <x14:formula1>
            <xm:f>DATA!$B$23:$G$23</xm:f>
          </x14:formula1>
          <xm:sqref>C29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31F7953-B691-4F60-9404-12DE9D73CCF1}">
          <x14:formula1>
            <xm:f>DATA!$B$24:$G$24</xm:f>
          </x14:formula1>
          <xm:sqref>C30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8DE4FC62-2760-4271-9896-52F1CE952F10}">
          <x14:formula1>
            <xm:f>DATA!$B$25:$G$25</xm:f>
          </x14:formula1>
          <xm:sqref>C31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B699B283-30FB-4D26-B98D-024DC8BA395B}">
          <x14:formula1>
            <xm:f>DATA!$B$26:$G$26</xm:f>
          </x14:formula1>
          <xm:sqref>C32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3593EA33-CC2C-44EA-8259-C76F482F87AF}">
          <x14:formula1>
            <xm:f>DATA!$B$27:$G$27</xm:f>
          </x14:formula1>
          <xm:sqref>C33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3A445212-5273-44C6-B0BB-B18E48F71FAB}">
          <x14:formula1>
            <xm:f>DATA!$B$28:$G$28</xm:f>
          </x14:formula1>
          <xm:sqref>C34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967A7D6-CC7A-464C-A1B5-7FE4EB12EDE2}">
          <x14:formula1>
            <xm:f>DATA!$B$29:$G$29</xm:f>
          </x14:formula1>
          <xm:sqref>C35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87459142-271B-4B8A-B5B7-A937103B46D3}">
          <x14:formula1>
            <xm:f>DATA!$B$30:$G$30</xm:f>
          </x14:formula1>
          <xm:sqref>C36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FE263147-4BCA-4176-8E13-1EF8D9FF67A3}">
          <x14:formula1>
            <xm:f>DATA!$B$31:$G$31</xm:f>
          </x14:formula1>
          <xm:sqref>C37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366C6B6D-08F0-4CE1-8F69-B4215C75EDDA}">
          <x14:formula1>
            <xm:f>DATA!$B$32:$G$32</xm:f>
          </x14:formula1>
          <xm:sqref>C38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26B4F885-B8E9-4404-B21E-DE49A0157F85}">
          <x14:formula1>
            <xm:f>DATA!$B$33:$G$33</xm:f>
          </x14:formula1>
          <xm:sqref>C39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4887E082-8BFB-400D-8EF8-242B93EDD4D1}">
          <x14:formula1>
            <xm:f>DATA!$B$34:$G$34</xm:f>
          </x14:formula1>
          <xm:sqref>C40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A900D51F-949A-42A9-BAC8-5F6EB288EFEB}">
          <x14:formula1>
            <xm:f>DATA!$B$35:$G$35</xm:f>
          </x14:formula1>
          <xm:sqref>C41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6B64F506-7F80-4843-8D27-DCA05C436433}">
          <x14:formula1>
            <xm:f>DATA!$B$36:$G$36</xm:f>
          </x14:formula1>
          <xm:sqref>C42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F4D97B4E-BA77-44A7-9F27-914B3AFCEFD1}">
          <x14:formula1>
            <xm:f>DATA!$B$37:$G$37</xm:f>
          </x14:formula1>
          <xm:sqref>C43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DA12DC33-87DD-4A15-8B41-9EF3C09EAD97}">
          <x14:formula1>
            <xm:f>DATA!$B$38:$G$38</xm:f>
          </x14:formula1>
          <xm:sqref>C44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9733296-6031-4E45-9D88-0F6870F4CDA5}">
          <x14:formula1>
            <xm:f>DATA!$B$39:$G$39</xm:f>
          </x14:formula1>
          <xm:sqref>C45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987EC69F-6F55-4FAC-83D3-4A6A8E9E86E4}">
          <x14:formula1>
            <xm:f>DATA!$B$40:$G$40</xm:f>
          </x14:formula1>
          <xm:sqref>C46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9A7D26A1-D857-4131-A2A3-E105757EAAC3}">
          <x14:formula1>
            <xm:f>DATA!$B$41:$G$41</xm:f>
          </x14:formula1>
          <xm:sqref>C47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AA938C1F-93A7-424F-BE57-39FB08A239EF}">
          <x14:formula1>
            <xm:f>DATA!$B$42:$G$42</xm:f>
          </x14:formula1>
          <xm:sqref>C48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7DC82111-8B96-4C76-BDE1-3D5CE6C6E527}">
          <x14:formula1>
            <xm:f>DATA!$B$43:$G$43</xm:f>
          </x14:formula1>
          <xm:sqref>C49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5E340D82-6A8C-45B8-A88D-877F3EFC58B7}">
          <x14:formula1>
            <xm:f>DATA!$B$44:$G$44</xm:f>
          </x14:formula1>
          <xm:sqref>C50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30EA00EE-A318-4BAD-9CC9-39FF44CEC156}">
          <x14:formula1>
            <xm:f>DATA!$B$45:$G$45</xm:f>
          </x14:formula1>
          <xm:sqref>C51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E3C30932-9D61-40FC-BBFF-FA4CF5BBCC54}">
          <x14:formula1>
            <xm:f>DATA!$B$46:$G$46</xm:f>
          </x14:formula1>
          <xm:sqref>C52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51AAFD39-27ED-41F2-9C60-E47B7F6FFB3F}">
          <x14:formula1>
            <xm:f>DATA!$B$47:$G$47</xm:f>
          </x14:formula1>
          <xm:sqref>C53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05B8086F-1DB2-43AB-AD34-669530510566}">
          <x14:formula1>
            <xm:f>DATA!$B$48:$G$48</xm:f>
          </x14:formula1>
          <xm:sqref>C54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F3CD2714-A2F2-4C3B-B2D5-8B91CBCEA090}">
          <x14:formula1>
            <xm:f>DATA!$B$49:$G$49</xm:f>
          </x14:formula1>
          <xm:sqref>C55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156341A2-8257-450D-A4FD-1AC21C7E4A15}">
          <x14:formula1>
            <xm:f>DATA!$B$50:$G$50</xm:f>
          </x14:formula1>
          <xm:sqref>C56</xm:sqref>
        </x14:dataValidation>
        <x14:dataValidation type="list" allowBlank="1" showInputMessage="1" showErrorMessage="1" errorTitle="Invalid Entry!" error="You can only select an option from the list. Do not type your answer" promptTitle="Please select your answer" prompt=": Click the dropdown arrow to choose your option from the list" xr:uid="{FE5482B5-C614-4C14-83B0-E3664914F39B}">
          <x14:formula1>
            <xm:f>DATA!$B$51:$G$51</xm:f>
          </x14:formula1>
          <xm:sqref>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BE70-D996-4613-B371-49783D5FDE76}">
  <sheetPr>
    <tabColor theme="5" tint="0.39997558519241921"/>
  </sheetPr>
  <dimension ref="A1:G51"/>
  <sheetViews>
    <sheetView zoomScale="115" zoomScaleNormal="115" workbookViewId="0">
      <selection activeCell="G2" sqref="G2"/>
    </sheetView>
  </sheetViews>
  <sheetFormatPr defaultRowHeight="22.2" x14ac:dyDescent="0.35"/>
  <cols>
    <col min="1" max="1" width="45.25" bestFit="1" customWidth="1"/>
    <col min="2" max="2" width="39.5625" bestFit="1" customWidth="1"/>
    <col min="3" max="3" width="36.875" bestFit="1" customWidth="1"/>
    <col min="4" max="4" width="41.5" bestFit="1" customWidth="1"/>
    <col min="5" max="5" width="35.9375" bestFit="1" customWidth="1"/>
    <col min="6" max="6" width="35.4375" bestFit="1" customWidth="1"/>
    <col min="7" max="7" width="45.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3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x14ac:dyDescent="0.35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 x14ac:dyDescent="0.35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 spans="1:7" x14ac:dyDescent="0.3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 x14ac:dyDescent="0.35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 spans="1:7" x14ac:dyDescent="0.3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 x14ac:dyDescent="0.3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</row>
    <row r="17" spans="1:7" x14ac:dyDescent="0.35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</row>
    <row r="18" spans="1:7" x14ac:dyDescent="0.35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</row>
    <row r="19" spans="1:7" x14ac:dyDescent="0.35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</row>
    <row r="20" spans="1:7" x14ac:dyDescent="0.35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</row>
    <row r="21" spans="1:7" x14ac:dyDescent="0.35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5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</row>
    <row r="23" spans="1:7" x14ac:dyDescent="0.35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</row>
    <row r="24" spans="1:7" x14ac:dyDescent="0.35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G24" s="2" t="s">
        <v>167</v>
      </c>
    </row>
    <row r="25" spans="1:7" x14ac:dyDescent="0.35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174</v>
      </c>
    </row>
    <row r="26" spans="1:7" x14ac:dyDescent="0.35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</row>
    <row r="27" spans="1:7" x14ac:dyDescent="0.35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</row>
    <row r="28" spans="1:7" x14ac:dyDescent="0.35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</row>
    <row r="29" spans="1:7" x14ac:dyDescent="0.35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</row>
    <row r="30" spans="1:7" x14ac:dyDescent="0.35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209</v>
      </c>
    </row>
    <row r="31" spans="1:7" x14ac:dyDescent="0.35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 s="2" t="s">
        <v>216</v>
      </c>
    </row>
    <row r="32" spans="1:7" x14ac:dyDescent="0.35">
      <c r="A32" s="2" t="s">
        <v>217</v>
      </c>
      <c r="B32" s="2" t="s">
        <v>218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223</v>
      </c>
    </row>
    <row r="33" spans="1:7" x14ac:dyDescent="0.35">
      <c r="A33" s="2" t="s">
        <v>224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2" t="s">
        <v>230</v>
      </c>
    </row>
    <row r="34" spans="1:7" x14ac:dyDescent="0.35">
      <c r="A34" s="2" t="s">
        <v>231</v>
      </c>
      <c r="B34" s="2" t="s">
        <v>232</v>
      </c>
      <c r="C34" s="2" t="s">
        <v>233</v>
      </c>
      <c r="D34" s="2" t="s">
        <v>234</v>
      </c>
      <c r="E34" s="2" t="s">
        <v>235</v>
      </c>
      <c r="F34" s="2" t="s">
        <v>236</v>
      </c>
      <c r="G34" s="2" t="s">
        <v>237</v>
      </c>
    </row>
    <row r="35" spans="1:7" x14ac:dyDescent="0.35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242</v>
      </c>
      <c r="F35" s="2" t="s">
        <v>243</v>
      </c>
      <c r="G35" s="2" t="s">
        <v>244</v>
      </c>
    </row>
    <row r="36" spans="1:7" x14ac:dyDescent="0.35">
      <c r="A36" s="2" t="s">
        <v>245</v>
      </c>
      <c r="B36" s="2" t="s">
        <v>246</v>
      </c>
      <c r="C36" s="2" t="s">
        <v>247</v>
      </c>
      <c r="D36" s="2" t="s">
        <v>248</v>
      </c>
      <c r="E36" s="2" t="s">
        <v>249</v>
      </c>
      <c r="F36" s="2" t="s">
        <v>250</v>
      </c>
      <c r="G36" s="2" t="s">
        <v>251</v>
      </c>
    </row>
    <row r="37" spans="1:7" x14ac:dyDescent="0.35">
      <c r="A37" s="2" t="s">
        <v>252</v>
      </c>
      <c r="B37" s="2" t="s">
        <v>253</v>
      </c>
      <c r="C37" s="2" t="s">
        <v>254</v>
      </c>
      <c r="D37" s="2" t="s">
        <v>255</v>
      </c>
      <c r="E37" s="2" t="s">
        <v>256</v>
      </c>
      <c r="F37" s="2" t="s">
        <v>257</v>
      </c>
      <c r="G37" s="2" t="s">
        <v>258</v>
      </c>
    </row>
    <row r="38" spans="1:7" x14ac:dyDescent="0.35">
      <c r="A38" s="2" t="s">
        <v>259</v>
      </c>
      <c r="B38" s="2" t="s">
        <v>260</v>
      </c>
      <c r="C38" s="2" t="s">
        <v>261</v>
      </c>
      <c r="D38" s="2" t="s">
        <v>262</v>
      </c>
      <c r="E38" s="2" t="s">
        <v>263</v>
      </c>
      <c r="F38" s="2" t="s">
        <v>264</v>
      </c>
      <c r="G38" s="2" t="s">
        <v>265</v>
      </c>
    </row>
    <row r="39" spans="1:7" x14ac:dyDescent="0.35">
      <c r="A39" s="2" t="s">
        <v>266</v>
      </c>
      <c r="B39" s="2" t="s">
        <v>267</v>
      </c>
      <c r="C39" s="2" t="s">
        <v>268</v>
      </c>
      <c r="D39" s="2" t="s">
        <v>269</v>
      </c>
      <c r="E39" s="2" t="s">
        <v>270</v>
      </c>
      <c r="F39" s="2" t="s">
        <v>271</v>
      </c>
      <c r="G39" s="2" t="s">
        <v>272</v>
      </c>
    </row>
    <row r="40" spans="1:7" x14ac:dyDescent="0.35">
      <c r="A40" s="2" t="s">
        <v>273</v>
      </c>
      <c r="B40" s="2" t="s">
        <v>274</v>
      </c>
      <c r="C40" s="2" t="s">
        <v>275</v>
      </c>
      <c r="D40" s="2" t="s">
        <v>276</v>
      </c>
      <c r="E40" s="2" t="s">
        <v>277</v>
      </c>
      <c r="F40" s="2" t="s">
        <v>278</v>
      </c>
      <c r="G40" s="2" t="s">
        <v>279</v>
      </c>
    </row>
    <row r="41" spans="1:7" x14ac:dyDescent="0.35">
      <c r="A41" s="2" t="s">
        <v>280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285</v>
      </c>
      <c r="G41" s="2" t="s">
        <v>286</v>
      </c>
    </row>
    <row r="42" spans="1:7" x14ac:dyDescent="0.35">
      <c r="A42" s="2" t="s">
        <v>287</v>
      </c>
      <c r="B42" s="2" t="s">
        <v>288</v>
      </c>
      <c r="C42" s="2" t="s">
        <v>289</v>
      </c>
      <c r="D42" s="2" t="s">
        <v>290</v>
      </c>
      <c r="E42" s="2" t="s">
        <v>291</v>
      </c>
      <c r="F42" s="2" t="s">
        <v>292</v>
      </c>
      <c r="G42" s="2" t="s">
        <v>293</v>
      </c>
    </row>
    <row r="43" spans="1:7" x14ac:dyDescent="0.35">
      <c r="A43" s="2" t="s">
        <v>294</v>
      </c>
      <c r="B43" s="2" t="s">
        <v>295</v>
      </c>
      <c r="C43" s="2" t="s">
        <v>296</v>
      </c>
      <c r="D43" s="2" t="s">
        <v>297</v>
      </c>
      <c r="E43" s="2" t="s">
        <v>298</v>
      </c>
      <c r="F43" s="2" t="s">
        <v>299</v>
      </c>
      <c r="G43" s="2" t="s">
        <v>300</v>
      </c>
    </row>
    <row r="44" spans="1:7" x14ac:dyDescent="0.35">
      <c r="A44" s="2" t="s">
        <v>301</v>
      </c>
      <c r="B44" s="2" t="s">
        <v>302</v>
      </c>
      <c r="C44" s="2" t="s">
        <v>303</v>
      </c>
      <c r="D44" s="2" t="s">
        <v>304</v>
      </c>
      <c r="E44" s="2" t="s">
        <v>305</v>
      </c>
      <c r="F44" s="2" t="s">
        <v>306</v>
      </c>
      <c r="G44" s="2" t="s">
        <v>307</v>
      </c>
    </row>
    <row r="45" spans="1:7" x14ac:dyDescent="0.35">
      <c r="A45" s="2" t="s">
        <v>308</v>
      </c>
      <c r="B45" s="2" t="s">
        <v>309</v>
      </c>
      <c r="C45" s="2" t="s">
        <v>310</v>
      </c>
      <c r="D45" s="2" t="s">
        <v>311</v>
      </c>
      <c r="E45" s="2" t="s">
        <v>312</v>
      </c>
      <c r="F45" s="2" t="s">
        <v>313</v>
      </c>
      <c r="G45" s="2" t="s">
        <v>314</v>
      </c>
    </row>
    <row r="46" spans="1:7" x14ac:dyDescent="0.35">
      <c r="A46" s="2" t="s">
        <v>315</v>
      </c>
      <c r="B46" s="2" t="s">
        <v>316</v>
      </c>
      <c r="C46" s="2" t="s">
        <v>317</v>
      </c>
      <c r="D46" s="2" t="s">
        <v>318</v>
      </c>
      <c r="E46" s="2" t="s">
        <v>319</v>
      </c>
      <c r="F46" s="2" t="s">
        <v>320</v>
      </c>
      <c r="G46" s="2" t="s">
        <v>321</v>
      </c>
    </row>
    <row r="47" spans="1:7" x14ac:dyDescent="0.35">
      <c r="A47" s="2" t="s">
        <v>322</v>
      </c>
      <c r="B47" s="2" t="s">
        <v>323</v>
      </c>
      <c r="C47" s="2" t="s">
        <v>324</v>
      </c>
      <c r="D47" s="2" t="s">
        <v>325</v>
      </c>
      <c r="E47" s="2" t="s">
        <v>326</v>
      </c>
      <c r="F47" s="2" t="s">
        <v>327</v>
      </c>
      <c r="G47" s="2" t="s">
        <v>328</v>
      </c>
    </row>
    <row r="48" spans="1:7" x14ac:dyDescent="0.35">
      <c r="A48" s="2" t="s">
        <v>329</v>
      </c>
      <c r="B48" s="2" t="s">
        <v>330</v>
      </c>
      <c r="C48" s="2" t="s">
        <v>331</v>
      </c>
      <c r="D48" s="2" t="s">
        <v>332</v>
      </c>
      <c r="E48" s="2" t="s">
        <v>333</v>
      </c>
      <c r="F48" s="2" t="s">
        <v>334</v>
      </c>
      <c r="G48" s="2" t="s">
        <v>335</v>
      </c>
    </row>
    <row r="49" spans="1:7" x14ac:dyDescent="0.35">
      <c r="A49" s="2" t="s">
        <v>336</v>
      </c>
      <c r="B49" s="2" t="s">
        <v>337</v>
      </c>
      <c r="C49" s="2" t="s">
        <v>338</v>
      </c>
      <c r="D49" s="2" t="s">
        <v>339</v>
      </c>
      <c r="E49" s="2" t="s">
        <v>340</v>
      </c>
      <c r="F49" s="2" t="s">
        <v>341</v>
      </c>
      <c r="G49" s="2" t="s">
        <v>342</v>
      </c>
    </row>
    <row r="50" spans="1:7" x14ac:dyDescent="0.35">
      <c r="A50" s="2" t="s">
        <v>343</v>
      </c>
      <c r="B50" s="2" t="s">
        <v>344</v>
      </c>
      <c r="C50" s="2" t="s">
        <v>345</v>
      </c>
      <c r="D50" s="2" t="s">
        <v>346</v>
      </c>
      <c r="E50" s="2" t="s">
        <v>347</v>
      </c>
      <c r="F50" s="2" t="s">
        <v>348</v>
      </c>
      <c r="G50" s="2" t="s">
        <v>349</v>
      </c>
    </row>
    <row r="51" spans="1:7" x14ac:dyDescent="0.35">
      <c r="A51" s="2" t="s">
        <v>350</v>
      </c>
      <c r="B51" s="2" t="s">
        <v>351</v>
      </c>
      <c r="C51" s="2" t="s">
        <v>352</v>
      </c>
      <c r="D51" s="2" t="s">
        <v>353</v>
      </c>
      <c r="E51" s="2" t="s">
        <v>354</v>
      </c>
      <c r="F51" s="2" t="s">
        <v>355</v>
      </c>
      <c r="G51" s="2" t="s">
        <v>356</v>
      </c>
    </row>
  </sheetData>
  <sheetProtection algorithmName="SHA-512" hashValue="6Qx0e73zW8TbS/aNa5ZgcLLE7OZFeSrvzA7tcH0JeXZ8q9lHcOYEaQnIVs5PTb+bis4mlbre1NqjiwlJKsRM1w==" saltValue="PIBkgI9rIUL7GfoLllBlu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4CDC-E544-46A6-A549-38F52D6ABF4B}">
  <sheetPr>
    <tabColor theme="4" tint="0.39997558519241921"/>
  </sheetPr>
  <dimension ref="A1:B10"/>
  <sheetViews>
    <sheetView workbookViewId="0">
      <selection activeCell="A10" sqref="A10"/>
    </sheetView>
  </sheetViews>
  <sheetFormatPr defaultRowHeight="22.2" x14ac:dyDescent="0.35"/>
  <sheetData>
    <row r="1" spans="1:2" x14ac:dyDescent="0.35">
      <c r="A1" s="8" t="s">
        <v>360</v>
      </c>
      <c r="B1" s="8" t="s">
        <v>367</v>
      </c>
    </row>
    <row r="2" spans="1:2" x14ac:dyDescent="0.35">
      <c r="A2" s="7" t="s">
        <v>361</v>
      </c>
      <c r="B2" s="7" cm="1">
        <f t="array" ref="B2">SUMPRODUCT(--(QUIZ!$B$8:$C$57=DATA!$B$2:$B$51))</f>
        <v>0</v>
      </c>
    </row>
    <row r="3" spans="1:2" x14ac:dyDescent="0.35">
      <c r="A3" s="7" t="s">
        <v>362</v>
      </c>
      <c r="B3" s="7" cm="1">
        <f t="array" ref="B3">SUMPRODUCT(--(QUIZ!$B$8:$C$57=DATA!$C$2:$C$51))</f>
        <v>0</v>
      </c>
    </row>
    <row r="4" spans="1:2" x14ac:dyDescent="0.35">
      <c r="A4" s="7" t="s">
        <v>363</v>
      </c>
      <c r="B4" s="7" cm="1">
        <f t="array" ref="B4">SUMPRODUCT(--(QUIZ!$B$8:$C$57=DATA!$D$2:$D$51))</f>
        <v>0</v>
      </c>
    </row>
    <row r="5" spans="1:2" x14ac:dyDescent="0.35">
      <c r="A5" s="7" t="s">
        <v>364</v>
      </c>
      <c r="B5" s="7" cm="1">
        <f t="array" ref="B5">SUMPRODUCT(--(QUIZ!$B$8:$C$57=DATA!$E$2:$E$51))</f>
        <v>0</v>
      </c>
    </row>
    <row r="6" spans="1:2" x14ac:dyDescent="0.35">
      <c r="A6" s="7" t="s">
        <v>365</v>
      </c>
      <c r="B6" s="7" cm="1">
        <f t="array" ref="B6">SUMPRODUCT(--(QUIZ!$B$8:$C$57=DATA!$F$2:$F$51))</f>
        <v>0</v>
      </c>
    </row>
    <row r="7" spans="1:2" x14ac:dyDescent="0.35">
      <c r="A7" s="7" t="s">
        <v>366</v>
      </c>
      <c r="B7" s="7" cm="1">
        <f t="array" ref="B7">SUMPRODUCT(--(QUIZ!$B$8:$C$57=DATA!$G$2:$G$51))</f>
        <v>0</v>
      </c>
    </row>
    <row r="9" spans="1:2" x14ac:dyDescent="0.35">
      <c r="A9" t="str" cm="1">
        <f t="array" ref="A9:B10">QUIZ!B5:C6</f>
        <v>NAME        :</v>
      </c>
      <c r="B9">
        <v>0</v>
      </c>
    </row>
    <row r="10" spans="1:2" x14ac:dyDescent="0.35">
      <c r="A10" t="str">
        <v>CONTACT :</v>
      </c>
      <c r="B10">
        <v>0</v>
      </c>
    </row>
  </sheetData>
  <sheetProtection algorithmName="SHA-512" hashValue="0rcX4ZCX5jl11xUUZTBywr3Wzaq8vugW5GamVHFAoWdOr/Fn2i9CxsNeP1JtcMjG8kRar3uagyCjSZmAsp5MOw==" saltValue="5TwHuYQRYMudcbR3EZq3A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</vt:lpstr>
      <vt:lpstr>DATA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Ossifield OX</dc:creator>
  <cp:lastModifiedBy>XDB.edit@gmail.com</cp:lastModifiedBy>
  <dcterms:created xsi:type="dcterms:W3CDTF">2025-08-07T15:28:45Z</dcterms:created>
  <dcterms:modified xsi:type="dcterms:W3CDTF">2025-10-30T17:35:28Z</dcterms:modified>
</cp:coreProperties>
</file>